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Rs Q2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<sst xmlns="http://schemas.openxmlformats.org/spreadsheetml/2006/main" count="69" uniqueCount="44">
  <si>
    <t xml:space="preserve">Objetivo</t>
  </si>
  <si>
    <t xml:space="preserve">Key Result</t>
  </si>
  <si>
    <t xml:space="preserve">Unidade</t>
  </si>
  <si>
    <t xml:space="preserve">Tipo</t>
  </si>
  <si>
    <t xml:space="preserve">Valor Inicial</t>
  </si>
  <si>
    <t xml:space="preserve">Meta</t>
  </si>
  <si>
    <t xml:space="preserve">Sem 1
13/04</t>
  </si>
  <si>
    <t xml:space="preserve">Sem 2
20/04</t>
  </si>
  <si>
    <t xml:space="preserve">Sem 3
27/04</t>
  </si>
  <si>
    <t xml:space="preserve">Sem 4
04/05</t>
  </si>
  <si>
    <t xml:space="preserve">Sem 5
11/05</t>
  </si>
  <si>
    <t xml:space="preserve">Sem 6
18/05</t>
  </si>
  <si>
    <t xml:space="preserve">Sem 7
25/05</t>
  </si>
  <si>
    <t xml:space="preserve">Sem 8
01/06</t>
  </si>
  <si>
    <t xml:space="preserve">Sem 9
08/06</t>
  </si>
  <si>
    <t xml:space="preserve">Sem 10
15/06</t>
  </si>
  <si>
    <t xml:space="preserve">Sem 11
22/06</t>
  </si>
  <si>
    <t xml:space="preserve">Sem 12
29/06</t>
  </si>
  <si>
    <t xml:space="preserve">Sem 13
06/07</t>
  </si>
  <si>
    <t xml:space="preserve">Último
Valor</t>
  </si>
  <si>
    <t xml:space="preserve">% Progresso</t>
  </si>
  <si>
    <t xml:space="preserve">Aumentar a Receita do Marketplace</t>
  </si>
  <si>
    <t xml:space="preserve">Taxa de conversão de visitantes para compradores</t>
  </si>
  <si>
    <t xml:space="preserve">%</t>
  </si>
  <si>
    <t xml:space="preserve">Aumentar</t>
  </si>
  <si>
    <t xml:space="preserve">Ticket médio por pedido</t>
  </si>
  <si>
    <t xml:space="preserve">R$</t>
  </si>
  <si>
    <t xml:space="preserve">Taxa de abandono de carrinho</t>
  </si>
  <si>
    <t xml:space="preserve">Reduzir</t>
  </si>
  <si>
    <t xml:space="preserve">Participação de produtos com upsell/cross-sell</t>
  </si>
  <si>
    <t xml:space="preserve">Melhorar a Qualidade do Produto</t>
  </si>
  <si>
    <t xml:space="preserve">Bugs críticos reportados por semana</t>
  </si>
  <si>
    <t xml:space="preserve">bugs</t>
  </si>
  <si>
    <t xml:space="preserve">NPS</t>
  </si>
  <si>
    <t xml:space="preserve">pontos</t>
  </si>
  <si>
    <t xml:space="preserve">Tempo médio de carregamento das páginas</t>
  </si>
  <si>
    <t xml:space="preserve">s</t>
  </si>
  <si>
    <t xml:space="preserve">Taxa de reclamações (suporte por pedido)</t>
  </si>
  <si>
    <t xml:space="preserve">Aumentar a Recorrência de Usuários</t>
  </si>
  <si>
    <t xml:space="preserve">Taxa de recompra em 30 dias</t>
  </si>
  <si>
    <t xml:space="preserve">Número médio de pedidos por usuário ativo</t>
  </si>
  <si>
    <t xml:space="preserve">pedidos</t>
  </si>
  <si>
    <t xml:space="preserve">Crescimento de MAU recorrentes</t>
  </si>
  <si>
    <t xml:space="preserve">Taxa de ativação (1ª compra em até 7 dias)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</si>
</sst>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19" min="7" style="0" width="9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s">
        <v>23</v>
      </c>
      <c r="D2" s="3" t="s">
        <v>24</v>
      </c>
      <c r="E2" s="3" t="n">
        <v>2.5</v>
      </c>
      <c r="F2" s="3" t="n">
        <v>3.5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 t="str">
        <f aca="false">IFERROR(LOOKUP(2,1/(G2:S2&lt;&gt;""),G2:S2),"")</f>
        <v/>
      </c>
      <c r="U2" s="6" t="str">
        <f aca="false">IF(T2="","",IFERROR(IF(D2="Aumentar",(T2-E2)/(F2-E2),(E2-T2)/(E2-F2)),"-"))</f>
        <v/>
      </c>
    </row>
    <row r="3" customFormat="false" ht="15" hidden="false" customHeight="false" outlineLevel="0" collapsed="false">
      <c r="A3" s="2" t="s">
        <v>21</v>
      </c>
      <c r="B3" s="2" t="s">
        <v>25</v>
      </c>
      <c r="C3" s="3" t="s">
        <v>26</v>
      </c>
      <c r="D3" s="3" t="s">
        <v>24</v>
      </c>
      <c r="E3" s="3" t="n">
        <v>120</v>
      </c>
      <c r="F3" s="3" t="n">
        <v>150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 t="str">
        <f aca="false">IFERROR(LOOKUP(2,1/(G3:S3&lt;&gt;""),G3:S3),"")</f>
        <v/>
      </c>
      <c r="U3" s="6" t="str">
        <f aca="false">IF(T3="","",IFERROR(IF(D3="Aumentar",(T3-E3)/(F3-E3),(E3-T3)/(E3-F3)),"-"))</f>
        <v/>
      </c>
    </row>
    <row r="4" customFormat="false" ht="15" hidden="false" customHeight="false" outlineLevel="0" collapsed="false">
      <c r="A4" s="2" t="s">
        <v>21</v>
      </c>
      <c r="B4" s="2" t="s">
        <v>27</v>
      </c>
      <c r="C4" s="3" t="s">
        <v>23</v>
      </c>
      <c r="D4" s="3" t="s">
        <v>28</v>
      </c>
      <c r="E4" s="3" t="n">
        <v>68</v>
      </c>
      <c r="F4" s="3" t="n">
        <v>55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 t="str">
        <f aca="false">IFERROR(LOOKUP(2,1/(G4:S4&lt;&gt;""),G4:S4),"")</f>
        <v/>
      </c>
      <c r="U4" s="6" t="str">
        <f aca="false">IF(T4="","",IFERROR(IF(D4="Aumentar",(T4-E4)/(F4-E4),(E4-T4)/(E4-F4)),"-"))</f>
        <v/>
      </c>
    </row>
    <row r="5" customFormat="false" ht="15" hidden="false" customHeight="false" outlineLevel="0" collapsed="false">
      <c r="A5" s="2" t="s">
        <v>21</v>
      </c>
      <c r="B5" s="2" t="s">
        <v>29</v>
      </c>
      <c r="C5" s="3" t="s">
        <v>23</v>
      </c>
      <c r="D5" s="3" t="s">
        <v>24</v>
      </c>
      <c r="E5" s="3" t="n">
        <v>15</v>
      </c>
      <c r="F5" s="3" t="n">
        <v>30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tr">
        <f aca="false">IFERROR(LOOKUP(2,1/(G5:S5&lt;&gt;""),G5:S5),"")</f>
        <v/>
      </c>
      <c r="U5" s="6" t="str">
        <f aca="false">IF(T5="","",IFERROR(IF(D5="Aumentar",(T5-E5)/(F5-E5),(E5-T5)/(E5-F5)),"-"))</f>
        <v/>
      </c>
    </row>
    <row r="6" customFormat="false" ht="15" hidden="false" customHeight="false" outlineLevel="0" collapsed="false">
      <c r="A6" s="7" t="s">
        <v>30</v>
      </c>
      <c r="B6" s="7" t="s">
        <v>31</v>
      </c>
      <c r="C6" s="8" t="s">
        <v>32</v>
      </c>
      <c r="D6" s="8" t="s">
        <v>28</v>
      </c>
      <c r="E6" s="8" t="n">
        <v>25</v>
      </c>
      <c r="F6" s="8" t="n">
        <v>10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 t="str">
        <f aca="false">IFERROR(LOOKUP(2,1/(G6:S6&lt;&gt;""),G6:S6),"")</f>
        <v/>
      </c>
      <c r="U6" s="10" t="str">
        <f aca="false">IF(T6="","",IFERROR(IF(D6="Aumentar",(T6-E6)/(F6-E6),(E6-T6)/(E6-F6)),"-"))</f>
        <v/>
      </c>
    </row>
    <row r="7" customFormat="false" ht="15" hidden="false" customHeight="false" outlineLevel="0" collapsed="false">
      <c r="A7" s="7" t="s">
        <v>30</v>
      </c>
      <c r="B7" s="7" t="s">
        <v>33</v>
      </c>
      <c r="C7" s="8" t="s">
        <v>34</v>
      </c>
      <c r="D7" s="8" t="s">
        <v>24</v>
      </c>
      <c r="E7" s="8" t="n">
        <v>58</v>
      </c>
      <c r="F7" s="8" t="n">
        <v>70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 t="str">
        <f aca="false">IFERROR(LOOKUP(2,1/(G7:S7&lt;&gt;""),G7:S7),"")</f>
        <v/>
      </c>
      <c r="U7" s="10" t="str">
        <f aca="false">IF(T7="","",IFERROR(IF(D7="Aumentar",(T7-E7)/(F7-E7),(E7-T7)/(E7-F7)),"-"))</f>
        <v/>
      </c>
    </row>
    <row r="8" customFormat="false" ht="15" hidden="false" customHeight="false" outlineLevel="0" collapsed="false">
      <c r="A8" s="7" t="s">
        <v>30</v>
      </c>
      <c r="B8" s="7" t="s">
        <v>35</v>
      </c>
      <c r="C8" s="8" t="s">
        <v>36</v>
      </c>
      <c r="D8" s="8" t="s">
        <v>28</v>
      </c>
      <c r="E8" s="8" t="n">
        <v>4.5</v>
      </c>
      <c r="F8" s="8" t="n">
        <v>2.5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 t="str">
        <f aca="false">IFERROR(LOOKUP(2,1/(G8:S8&lt;&gt;""),G8:S8),"")</f>
        <v/>
      </c>
      <c r="U8" s="10" t="str">
        <f aca="false">IF(T8="","",IFERROR(IF(D8="Aumentar",(T8-E8)/(F8-E8),(E8-T8)/(E8-F8)),"-"))</f>
        <v/>
      </c>
    </row>
    <row r="9" customFormat="false" ht="15" hidden="false" customHeight="false" outlineLevel="0" collapsed="false">
      <c r="A9" s="7" t="s">
        <v>30</v>
      </c>
      <c r="B9" s="7" t="s">
        <v>37</v>
      </c>
      <c r="C9" s="8" t="s">
        <v>23</v>
      </c>
      <c r="D9" s="8" t="s">
        <v>28</v>
      </c>
      <c r="E9" s="8" t="n">
        <v>12</v>
      </c>
      <c r="F9" s="8" t="n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 t="str">
        <f aca="false">IFERROR(LOOKUP(2,1/(G9:S9&lt;&gt;""),G9:S9),"")</f>
        <v/>
      </c>
      <c r="U9" s="10" t="str">
        <f aca="false">IF(T9="","",IFERROR(IF(D9="Aumentar",(T9-E9)/(F9-E9),(E9-T9)/(E9-F9)),"-"))</f>
        <v/>
      </c>
    </row>
    <row r="10" customFormat="false" ht="15" hidden="false" customHeight="false" outlineLevel="0" collapsed="false">
      <c r="A10" s="11" t="s">
        <v>38</v>
      </c>
      <c r="B10" s="11" t="s">
        <v>39</v>
      </c>
      <c r="C10" s="12" t="s">
        <v>23</v>
      </c>
      <c r="D10" s="12" t="s">
        <v>24</v>
      </c>
      <c r="E10" s="12" t="n">
        <v>22</v>
      </c>
      <c r="F10" s="12" t="n">
        <v>35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3" t="str">
        <f aca="false">IFERROR(LOOKUP(2,1/(G10:S10&lt;&gt;""),G10:S10),"")</f>
        <v/>
      </c>
      <c r="U10" s="14" t="str">
        <f aca="false">IF(T10="","",IFERROR(IF(D10="Aumentar",(T10-E10)/(F10-E10),(E10-T10)/(E10-F10)),"-"))</f>
        <v/>
      </c>
    </row>
    <row r="11" customFormat="false" ht="15" hidden="false" customHeight="false" outlineLevel="0" collapsed="false">
      <c r="A11" s="11" t="s">
        <v>38</v>
      </c>
      <c r="B11" s="11" t="s">
        <v>40</v>
      </c>
      <c r="C11" s="12" t="s">
        <v>41</v>
      </c>
      <c r="D11" s="12" t="s">
        <v>24</v>
      </c>
      <c r="E11" s="12" t="n">
        <v>1.4</v>
      </c>
      <c r="F11" s="12" t="n">
        <v>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3" t="str">
        <f aca="false">IFERROR(LOOKUP(2,1/(G11:S11&lt;&gt;""),G11:S11),"")</f>
        <v/>
      </c>
      <c r="U11" s="14" t="str">
        <f aca="false">IF(T11="","",IFERROR(IF(D11="Aumentar",(T11-E11)/(F11-E11),(E11-T11)/(E11-F11)),"-"))</f>
        <v/>
      </c>
    </row>
    <row r="12" customFormat="false" ht="15" hidden="false" customHeight="false" outlineLevel="0" collapsed="false">
      <c r="A12" s="11" t="s">
        <v>38</v>
      </c>
      <c r="B12" s="11" t="s">
        <v>42</v>
      </c>
      <c r="C12" s="12" t="s">
        <v>23</v>
      </c>
      <c r="D12" s="12" t="s">
        <v>24</v>
      </c>
      <c r="E12" s="12" t="n">
        <v>0</v>
      </c>
      <c r="F12" s="12" t="n">
        <v>40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3" t="str">
        <f aca="false">IFERROR(LOOKUP(2,1/(G12:S12&lt;&gt;""),G12:S12),"")</f>
        <v/>
      </c>
      <c r="U12" s="14" t="str">
        <f aca="false">IF(T12="","",IFERROR(IF(D12="Aumentar",(T12-E12)/(F12-E12),(E12-T12)/(E12-F12)),"-"))</f>
        <v/>
      </c>
    </row>
    <row r="13" customFormat="false" ht="15" hidden="false" customHeight="false" outlineLevel="0" collapsed="false">
      <c r="A13" s="11" t="s">
        <v>38</v>
      </c>
      <c r="B13" s="11" t="s">
        <v>43</v>
      </c>
      <c r="C13" s="12" t="s">
        <v>23</v>
      </c>
      <c r="D13" s="12" t="s">
        <v>24</v>
      </c>
      <c r="E13" s="12" t="n">
        <v>45</v>
      </c>
      <c r="F13" s="12" t="n">
        <v>60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3" t="str">
        <f aca="false">IFERROR(LOOKUP(2,1/(G13:S13&lt;&gt;""),G13:S13),"")</f>
        <v/>
      </c>
      <c r="U13" s="14" t="str">
        <f aca="false">IF(T13="","",IFERROR(IF(D13="Aumentar",(T13-E13)/(F13-E13),(E13-T13)/(E13-F13)),"-"))</f>
        <v/>
      </c>
    </row>
  </sheetData>
  <conditionalFormatting sqref="U2:U13">
    <cfRule type="colorScale" priority="2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2026-04-12T05:26:13Z</dcterms:created>
  <dc:creator>openpyxl</dc:creator>
  <dc:description/>
  <dc:language>en-US</dc:language>
  <cp:lastModifiedBy/>
  <dcterms:modified xsi:type="dcterms:W3CDTF">2026-04-12T05:26:13Z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